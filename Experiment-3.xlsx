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<sst xmlns="http://schemas.openxmlformats.org/spreadsheetml/2006/main" count="22" uniqueCount="21">
  <si>
    <t>Roll No.</t>
  </si>
  <si>
    <t>Maths</t>
  </si>
  <si>
    <t>Physics</t>
  </si>
  <si>
    <t>Chemistry</t>
  </si>
  <si>
    <t>Student</t>
  </si>
  <si>
    <t>Total</t>
  </si>
  <si>
    <t>Average</t>
  </si>
  <si>
    <t>Ravi</t>
  </si>
  <si>
    <t>Priya</t>
  </si>
  <si>
    <t>Arun</t>
  </si>
  <si>
    <t>Sneha</t>
  </si>
  <si>
    <t>Kiran</t>
  </si>
  <si>
    <t>Anjali</t>
  </si>
  <si>
    <t>Rahul</t>
  </si>
  <si>
    <t>Divya</t>
  </si>
  <si>
    <t>Suresh</t>
  </si>
  <si>
    <t>Neha</t>
  </si>
  <si>
    <t>Result</t>
  </si>
  <si>
    <t>Fail</t>
  </si>
  <si>
    <t>Pass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</si>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</sst>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Sheet1!$B$2:$B$11</c:f>
              <c:strCache>
                <c:ptCount val="10"/>
                <c:pt idx="0">
                  <c:v>Ravi</c:v>
                </c:pt>
                <c:pt idx="1">
                  <c:v>Priya</c:v>
                </c:pt>
                <c:pt idx="2">
                  <c:v>Arun</c:v>
                </c:pt>
                <c:pt idx="3">
                  <c:v>Sneha</c:v>
                </c:pt>
                <c:pt idx="4">
                  <c:v>Kiran</c:v>
                </c:pt>
                <c:pt idx="5">
                  <c:v>Anjali</c:v>
                </c:pt>
                <c:pt idx="6">
                  <c:v>Rahul</c:v>
                </c:pt>
                <c:pt idx="7">
                  <c:v>Divya</c:v>
                </c:pt>
                <c:pt idx="8">
                  <c:v>Suresh</c:v>
                </c:pt>
                <c:pt idx="9">
                  <c:v>Neha</c:v>
                </c:pt>
              </c:strCache>
            </c:strRef>
          </c:cat>
          <c:val>
            <c:numRef>
              <c:f>Sheet1!$F$2:$F$11</c:f>
              <c:numCache>
                <c:formatCode>General</c:formatCode>
                <c:ptCount val="10"/>
                <c:pt idx="0">
                  <c:v>245</c:v>
                </c:pt>
                <c:pt idx="1">
                  <c:v>275</c:v>
                </c:pt>
                <c:pt idx="2">
                  <c:v>205</c:v>
                </c:pt>
                <c:pt idx="3">
                  <c:v>264</c:v>
                </c:pt>
                <c:pt idx="4">
                  <c:v>145</c:v>
                </c:pt>
                <c:pt idx="5">
                  <c:v>274</c:v>
                </c:pt>
                <c:pt idx="6">
                  <c:v>115</c:v>
                </c:pt>
                <c:pt idx="7">
                  <c:v>282</c:v>
                </c:pt>
                <c:pt idx="8">
                  <c:v>192</c:v>
                </c:pt>
                <c:pt idx="9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4-4D7A-B15C-9E4AFDEAFEE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8929904"/>
        <c:axId val="1288932400"/>
      </c:barChart>
      <c:catAx>
        <c:axId val="128892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932400"/>
        <c:crosses val="autoZero"/>
        <c:auto val="1"/>
        <c:lblAlgn val="ctr"/>
        <c:lblOffset val="100"/>
        <c:noMultiLvlLbl val="0"/>
      </c:catAx>
      <c:valAx>
        <c:axId val="12889324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892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Sheet1!$K$4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Sheet1!$J$5:$J$6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Sheet1!$K$5:$K$6</c:f>
              <c:numCache>
                <c:formatCode>General</c:formatCode>
                <c:ptCount val="2"/>
                <c:pt idx="0">
                  <c:v>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C-4899-98AC-5AC84EC3F73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245408</xdr:colOff>
      <xdr:row>14</xdr:row>
      <xdr:rowOff>0</xdr:rowOff>
    </xdr:from>
    <xdr:to>
      <xdr:col>11</xdr:col>
      <xdr:colOff>545726</xdr:colOff>
      <xdr:row>28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78441</xdr:colOff>
      <xdr:row>2</xdr:row>
      <xdr:rowOff>51547</xdr:rowOff>
    </xdr:from>
    <xdr:to>
      <xdr:col>19</xdr:col>
      <xdr:colOff>414618</xdr:colOff>
      <xdr:row>16</xdr:row>
      <xdr:rowOff>127747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zoomScale="70" zoomScaleNormal="70" workbookViewId="0">
      <selection activeCell="Q23" sqref="Q23"/>
    </sheetView>
  </sheetViews>
  <sheetFormatPr defaultRowHeight="15" x14ac:dyDescent="0.25"/>
  <cols>
    <col min="2" max="2" width="9.140625" customWidth="1"/>
  </cols>
  <sheetData>
    <row r="1" spans="1:11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2" t="s">
        <v>17</v>
      </c>
      <c r="I1" s="1"/>
    </row>
    <row r="2" spans="1:11" x14ac:dyDescent="0.25">
      <c r="A2" s="1">
        <v>1</v>
      </c>
      <c r="B2" s="1" t="s">
        <v>7</v>
      </c>
      <c r="C2" s="1">
        <v>78</v>
      </c>
      <c r="D2" s="1">
        <v>85</v>
      </c>
      <c r="E2" s="1">
        <v>82</v>
      </c>
      <c r="F2" s="1">
        <f>SUM(C2:E2)</f>
        <v>245</v>
      </c>
      <c r="G2" s="1">
        <f>AVERAGE(C2:F2)</f>
        <v>122.5</v>
      </c>
      <c r="H2" t="str">
        <f>IF(G2&gt;=100,"Pass","Fail")</f>
        <v>Pass</v>
      </c>
    </row>
    <row r="3" spans="1:11" x14ac:dyDescent="0.25">
      <c r="A3" s="1">
        <v>2</v>
      </c>
      <c r="B3" s="1" t="s">
        <v>8</v>
      </c>
      <c r="C3" s="1">
        <v>92</v>
      </c>
      <c r="D3" s="1">
        <v>88</v>
      </c>
      <c r="E3" s="1">
        <v>95</v>
      </c>
      <c r="F3" s="1">
        <f t="shared" ref="F3:F11" si="0">SUM(C3:E3)</f>
        <v>275</v>
      </c>
      <c r="G3" s="1">
        <f t="shared" ref="G3:G11" si="1">AVERAGE(C3:F3)</f>
        <v>137.5</v>
      </c>
      <c r="H3" t="str">
        <f t="shared" ref="H3:H11" si="2">IF(G3&gt;=100,"Pass","Fail")</f>
        <v>Pass</v>
      </c>
    </row>
    <row r="4" spans="1:11" x14ac:dyDescent="0.25">
      <c r="A4" s="1">
        <v>3</v>
      </c>
      <c r="B4" s="1" t="s">
        <v>9</v>
      </c>
      <c r="C4" s="1">
        <v>65</v>
      </c>
      <c r="D4" s="1">
        <v>72</v>
      </c>
      <c r="E4" s="1">
        <v>68</v>
      </c>
      <c r="F4" s="1">
        <f t="shared" si="0"/>
        <v>205</v>
      </c>
      <c r="G4" s="1">
        <f t="shared" si="1"/>
        <v>102.5</v>
      </c>
      <c r="H4" t="str">
        <f t="shared" si="2"/>
        <v>Pass</v>
      </c>
      <c r="J4" t="s">
        <v>17</v>
      </c>
      <c r="K4" t="s">
        <v>20</v>
      </c>
    </row>
    <row r="5" spans="1:11" x14ac:dyDescent="0.25">
      <c r="A5" s="1">
        <v>4</v>
      </c>
      <c r="B5" s="1" t="s">
        <v>10</v>
      </c>
      <c r="C5" s="1">
        <v>85</v>
      </c>
      <c r="D5" s="1">
        <v>91</v>
      </c>
      <c r="E5" s="1">
        <v>88</v>
      </c>
      <c r="F5" s="1">
        <f t="shared" si="0"/>
        <v>264</v>
      </c>
      <c r="G5" s="1">
        <f t="shared" si="1"/>
        <v>132</v>
      </c>
      <c r="H5" t="str">
        <f t="shared" si="2"/>
        <v>Pass</v>
      </c>
      <c r="J5" t="s">
        <v>19</v>
      </c>
      <c r="K5">
        <v>7</v>
      </c>
    </row>
    <row r="6" spans="1:11" x14ac:dyDescent="0.25">
      <c r="A6" s="1">
        <v>5</v>
      </c>
      <c r="B6" s="1" t="s">
        <v>11</v>
      </c>
      <c r="C6" s="1">
        <v>45</v>
      </c>
      <c r="D6" s="1">
        <v>52</v>
      </c>
      <c r="E6" s="1">
        <v>48</v>
      </c>
      <c r="F6" s="1">
        <f t="shared" si="0"/>
        <v>145</v>
      </c>
      <c r="G6" s="1">
        <f t="shared" si="1"/>
        <v>72.5</v>
      </c>
      <c r="H6" t="str">
        <f t="shared" si="2"/>
        <v>Fail</v>
      </c>
      <c r="J6" t="s">
        <v>18</v>
      </c>
      <c r="K6">
        <v>3</v>
      </c>
    </row>
    <row r="7" spans="1:11" x14ac:dyDescent="0.25">
      <c r="A7" s="1">
        <v>6</v>
      </c>
      <c r="B7" s="1" t="s">
        <v>12</v>
      </c>
      <c r="C7" s="1">
        <v>88</v>
      </c>
      <c r="D7" s="1">
        <v>95</v>
      </c>
      <c r="E7" s="1">
        <v>91</v>
      </c>
      <c r="F7" s="1">
        <f t="shared" si="0"/>
        <v>274</v>
      </c>
      <c r="G7" s="1">
        <f t="shared" si="1"/>
        <v>137</v>
      </c>
      <c r="H7" t="str">
        <f t="shared" si="2"/>
        <v>Pass</v>
      </c>
    </row>
    <row r="8" spans="1:11" x14ac:dyDescent="0.25">
      <c r="A8" s="1">
        <v>7</v>
      </c>
      <c r="B8" s="1" t="s">
        <v>13</v>
      </c>
      <c r="C8" s="1">
        <v>35</v>
      </c>
      <c r="D8" s="1">
        <v>42</v>
      </c>
      <c r="E8" s="1">
        <v>38</v>
      </c>
      <c r="F8" s="1">
        <f t="shared" si="0"/>
        <v>115</v>
      </c>
      <c r="G8" s="1">
        <f t="shared" si="1"/>
        <v>57.5</v>
      </c>
      <c r="H8" t="str">
        <f t="shared" si="2"/>
        <v>Fail</v>
      </c>
    </row>
    <row r="9" spans="1:11" x14ac:dyDescent="0.25">
      <c r="A9" s="1">
        <v>8</v>
      </c>
      <c r="B9" s="1" t="s">
        <v>14</v>
      </c>
      <c r="C9" s="1">
        <v>96</v>
      </c>
      <c r="D9" s="1">
        <v>92</v>
      </c>
      <c r="E9" s="1">
        <v>94</v>
      </c>
      <c r="F9" s="1">
        <f t="shared" si="0"/>
        <v>282</v>
      </c>
      <c r="G9" s="1">
        <f t="shared" si="1"/>
        <v>141</v>
      </c>
      <c r="H9" t="str">
        <f t="shared" si="2"/>
        <v>Pass</v>
      </c>
    </row>
    <row r="10" spans="1:11" x14ac:dyDescent="0.25">
      <c r="A10" s="1">
        <v>9</v>
      </c>
      <c r="B10" s="1" t="s">
        <v>15</v>
      </c>
      <c r="C10" s="1">
        <v>61</v>
      </c>
      <c r="D10" s="1">
        <v>67</v>
      </c>
      <c r="E10" s="1">
        <v>64</v>
      </c>
      <c r="F10" s="1">
        <f t="shared" si="0"/>
        <v>192</v>
      </c>
      <c r="G10" s="1">
        <f t="shared" si="1"/>
        <v>96</v>
      </c>
      <c r="H10" t="str">
        <f t="shared" si="2"/>
        <v>Fail</v>
      </c>
    </row>
    <row r="11" spans="1:11" x14ac:dyDescent="0.25">
      <c r="A11" s="1">
        <v>10</v>
      </c>
      <c r="B11" s="1" t="s">
        <v>16</v>
      </c>
      <c r="C11" s="1">
        <v>82</v>
      </c>
      <c r="D11" s="1">
        <v>86</v>
      </c>
      <c r="E11" s="1">
        <v>79</v>
      </c>
      <c r="F11" s="1">
        <f t="shared" si="0"/>
        <v>247</v>
      </c>
      <c r="G11" s="1">
        <f t="shared" si="1"/>
        <v>123.5</v>
      </c>
      <c r="H11" t="str">
        <f t="shared" si="2"/>
        <v>Pass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2026-10-07T07:58:07Z</dcterms:created>
  <dcterms:modified xsi:type="dcterms:W3CDTF">2026-10-07T08:30:27Z</dcterms:modified>
</cp:coreProperties>
</file>